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Anthony Umo\Desktop\"/>
    </mc:Choice>
  </mc:AlternateContent>
  <xr:revisionPtr revIDLastSave="0" documentId="8_{2326F1B0-2E66-427E-9083-393530C570B1}" xr6:coauthVersionLast="47" xr6:coauthVersionMax="47" xr10:uidLastSave="{00000000-0000-0000-0000-000000000000}"/>
  <bookViews>
    <workbookView xWindow="-110" yWindow="-110" windowWidth="19420" windowHeight="11020" activeTab="2" xr2:uid="{1446F3C4-78BB-41C8-BC3D-C8EBF5800F84}"/>
  </bookViews>
  <sheets>
    <sheet name="Sheet3" sheetId="3" r:id="rId1"/>
    <sheet name="Dashboard" sheetId="4" r:id="rId2"/>
    <sheet name="Data" sheetId="1" r:id="rId3"/>
  </sheets>
  <definedNames>
    <definedName name="Slicer_sales_rep">#N/A</definedName>
  </definedNames>
  <calcPr calcId="191029"/>
  <pivotCaches>
    <pivotCache cacheId="2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3" i="4" l="1"/>
  <c r="B5" i="4"/>
  <c r="F3" i="1"/>
  <c r="E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Anthony Umo</author>
    <author>tc={34EC880A-B91A-4F00-B035-2E9B9F64B7AF}</author>
  </authors>
  <commentList>
    <comment ref="F3" authorId="0" shapeId="0" xr:uid="{0A6CB4C8-EC4E-438C-829F-4E1F870B063B}">
      <text>
        <r>
          <rPr>
            <b/>
            <sz val="9"/>
            <color indexed="81"/>
            <rFont val="Tahoma"/>
            <family val="2"/>
          </rPr>
          <t>Anthony Umo:</t>
        </r>
        <r>
          <rPr>
            <sz val="9"/>
            <color indexed="81"/>
            <rFont val="Tahoma"/>
            <family val="2"/>
          </rPr>
          <t xml:space="preserve">
Estimated from Unit and Prroduct per price
</t>
        </r>
      </text>
    </comment>
    <comment ref="E7" authorId="1" shapeId="0" xr:uid="{34EC880A-B91A-4F00-B035-2E9B9F64B7AF}">
      <text>
        <t>[Threaded comment]
Your version of Excel allows you to read this threaded comment; however, any edits to it will get removed if the file is opened in a newer version of Excel. Learn more: https://go.microsoft.com/fwlink/?linkid=870924
Comment:
    Estimated from revenue</t>
      </text>
    </comment>
  </commentList>
</comments>
</file>

<file path=xl/sharedStrings.xml><?xml version="1.0" encoding="utf-8"?>
<sst xmlns="http://schemas.openxmlformats.org/spreadsheetml/2006/main" count="51" uniqueCount="27">
  <si>
    <t>Ada</t>
  </si>
  <si>
    <t>Gas Valve</t>
  </si>
  <si>
    <t>South</t>
  </si>
  <si>
    <t>James</t>
  </si>
  <si>
    <t>Oil Filter</t>
  </si>
  <si>
    <t>North</t>
  </si>
  <si>
    <t>Unknown</t>
  </si>
  <si>
    <t>Fuel Pump</t>
  </si>
  <si>
    <t>West</t>
  </si>
  <si>
    <t>Chidi</t>
  </si>
  <si>
    <t>Pipeline Kit</t>
  </si>
  <si>
    <t>East</t>
  </si>
  <si>
    <t>sales_rep</t>
  </si>
  <si>
    <t>revenue</t>
  </si>
  <si>
    <t>units</t>
  </si>
  <si>
    <t>product_clean</t>
  </si>
  <si>
    <t>region</t>
  </si>
  <si>
    <t>date</t>
  </si>
  <si>
    <t>order_id</t>
  </si>
  <si>
    <t>Row Labels</t>
  </si>
  <si>
    <t>Grand Total</t>
  </si>
  <si>
    <t>Sum of revenue</t>
  </si>
  <si>
    <t>Column Labels</t>
  </si>
  <si>
    <t>Revenue by Region and Product</t>
  </si>
  <si>
    <t xml:space="preserve">Sales Performance Dashboard </t>
  </si>
  <si>
    <t>Region and Product Analysis 2024</t>
  </si>
  <si>
    <t>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</si>
</sst>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809]#,##0"/>
  </numFmts>
  <fonts count="8" x14ac:knownFonts="1">
    <font>
      <sz val="11"/>
      <color theme="1"/>
      <name val="Aptos Narrow"/>
      <family val="2"/>
      <scheme val="minor"/>
    </font>
    <font>
      <b/>
      <sz val="11"/>
      <color theme="1"/>
      <name val="Aptos Narrow"/>
      <family val="2"/>
      <scheme val="minor"/>
    </font>
    <font>
      <sz val="9"/>
      <color indexed="81"/>
      <name val="Tahoma"/>
      <family val="2"/>
    </font>
    <font>
      <b/>
      <sz val="9"/>
      <color indexed="81"/>
      <name val="Tahoma"/>
      <family val="2"/>
    </font>
    <font>
      <sz val="18"/>
      <color theme="1"/>
      <name val="Aptos Narrow"/>
      <family val="2"/>
      <scheme val="minor"/>
    </font>
    <font>
      <b/>
      <sz val="18"/>
      <color theme="1"/>
      <name val="Aptos Narrow"/>
      <family val="2"/>
      <scheme val="minor"/>
    </font>
    <font>
      <sz val="10"/>
      <color theme="2" tint="-0.499984740745262"/>
      <name val="Aptos Narrow"/>
      <family val="2"/>
      <scheme val="minor"/>
    </font>
    <font>
      <sz val="6"/>
      <color rgb="FF141413"/>
      <name val="Courier New"/>
      <family val="3"/>
    </font>
  </fonts>
  <fills count="4">
    <fill>
      <patternFill patternType="none"/>
    </fill>
    <fill>
      <patternFill patternType="gray125"/>
    </fill>
    <fill>
      <patternFill patternType="solid">
        <fgColor theme="2" tint="-9.9978637043366805E-2"/>
        <bgColor indexed="64"/>
      </patternFill>
    </fill>
    <fill>
      <patternFill patternType="solid">
        <fgColor theme="3" tint="0.89999084444715716"/>
        <bgColor indexed="64"/>
      </patternFill>
    </fill>
  </fills>
  <borders count="1">
    <border>
      <left/>
      <right/>
      <top/>
      <bottom/>
      <diagonal/>
    </border>
  </borders>
  <cellStyleXfs count="1">
    <xf numFmtId="0" fontId="0" fillId="0" borderId="0"/>
  </cellStyleXfs>
  <cellXfs count="14">
    <xf numFmtId="0" fontId="0" fillId="0" borderId="0" xfId="0"/>
    <xf numFmtId="16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 fillId="0" borderId="0" xfId="0" applyFont="1" applyAlignment="1"/>
    <xf numFmtId="0" fontId="0" fillId="2" borderId="0" xfId="0" applyFill="1"/>
    <xf numFmtId="0" fontId="1" fillId="2" borderId="0" xfId="0" applyFont="1" applyFill="1"/>
    <xf numFmtId="0" fontId="4" fillId="2" borderId="0" xfId="0" applyFont="1" applyFill="1"/>
    <xf numFmtId="0" fontId="5" fillId="2" borderId="0" xfId="0" applyFont="1" applyFill="1"/>
    <xf numFmtId="166" fontId="0" fillId="3" borderId="0" xfId="0" applyNumberFormat="1" applyFill="1"/>
    <xf numFmtId="0" fontId="0" fillId="3" borderId="0" xfId="0" applyFill="1"/>
    <xf numFmtId="0" fontId="6" fillId="3" borderId="0" xfId="0" applyFont="1" applyFill="1"/>
    <xf numFmtId="0" fontId="7" fillId="0" borderId="0" xfId="0" applyFont="1"/>
  </cellXfs>
  <cellStyles count="1">
    <cellStyle name="Normal" xfId="0" builtinId="0"/>
  </cellStyles>
  <dxfs count="62">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numFmt numFmtId="165" formatCode="&quot;$&quot;#,##0"/>
    </dxf>
    <dxf>
      <numFmt numFmtId="1" formatCode="0"/>
    </dxf>
    <dxf>
      <alignment horizontal="left"/>
    </dxf>
    <dxf>
      <font>
        <color rgb="FF9C0006"/>
      </font>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dashboard.xlsx]Sheet3!PivotTable3</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Fuel Pump</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Sheet3!$A$5:$A$9</c:f>
              <c:strCache>
                <c:ptCount val="4"/>
                <c:pt idx="0">
                  <c:v>East</c:v>
                </c:pt>
                <c:pt idx="1">
                  <c:v>North</c:v>
                </c:pt>
                <c:pt idx="2">
                  <c:v>South</c:v>
                </c:pt>
                <c:pt idx="3">
                  <c:v>West</c:v>
                </c:pt>
              </c:strCache>
            </c:strRef>
          </c:cat>
          <c:val>
            <c:numRef>
              <c:f>Sheet3!$B$5:$B$9</c:f>
              <c:numCache>
                <c:formatCode>0</c:formatCode>
                <c:ptCount val="4"/>
                <c:pt idx="3">
                  <c:v>3200</c:v>
                </c:pt>
              </c:numCache>
            </c:numRef>
          </c:val>
          <c:extLst>
            <c:ext xmlns:c16="http://schemas.microsoft.com/office/drawing/2014/chart" uri="{C3380CC4-5D6E-409C-BE32-E72D297353CC}">
              <c16:uniqueId val="{00000000-970F-48EF-A59E-F3F25D1AB99D}"/>
            </c:ext>
          </c:extLst>
        </c:ser>
        <c:ser>
          <c:idx val="1"/>
          <c:order val="1"/>
          <c:tx>
            <c:strRef>
              <c:f>Sheet3!$C$3:$C$4</c:f>
              <c:strCache>
                <c:ptCount val="1"/>
                <c:pt idx="0">
                  <c:v>Gas Valve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Sheet3!$A$5:$A$9</c:f>
              <c:strCache>
                <c:ptCount val="4"/>
                <c:pt idx="0">
                  <c:v>East</c:v>
                </c:pt>
                <c:pt idx="1">
                  <c:v>North</c:v>
                </c:pt>
                <c:pt idx="2">
                  <c:v>South</c:v>
                </c:pt>
                <c:pt idx="3">
                  <c:v>West</c:v>
                </c:pt>
              </c:strCache>
            </c:strRef>
          </c:cat>
          <c:val>
            <c:numRef>
              <c:f>Sheet3!$C$5:$C$9</c:f>
              <c:numCache>
                <c:formatCode>0</c:formatCode>
                <c:ptCount val="4"/>
                <c:pt idx="2">
                  <c:v>4500</c:v>
                </c:pt>
              </c:numCache>
            </c:numRef>
          </c:val>
          <c:extLst>
            <c:ext xmlns:c16="http://schemas.microsoft.com/office/drawing/2014/chart" uri="{C3380CC4-5D6E-409C-BE32-E72D297353CC}">
              <c16:uniqueId val="{0000000B-970F-48EF-A59E-F3F25D1AB99D}"/>
            </c:ext>
          </c:extLst>
        </c:ser>
        <c:ser>
          <c:idx val="2"/>
          <c:order val="2"/>
          <c:tx>
            <c:strRef>
              <c:f>Sheet3!$D$3:$D$4</c:f>
              <c:strCache>
                <c:ptCount val="1"/>
                <c:pt idx="0">
                  <c:v>Oil Filter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Sheet3!$A$5:$A$9</c:f>
              <c:strCache>
                <c:ptCount val="4"/>
                <c:pt idx="0">
                  <c:v>East</c:v>
                </c:pt>
                <c:pt idx="1">
                  <c:v>North</c:v>
                </c:pt>
                <c:pt idx="2">
                  <c:v>South</c:v>
                </c:pt>
                <c:pt idx="3">
                  <c:v>West</c:v>
                </c:pt>
              </c:strCache>
            </c:strRef>
          </c:cat>
          <c:val>
            <c:numRef>
              <c:f>Sheet3!$D$5:$D$9</c:f>
              <c:numCache>
                <c:formatCode>0</c:formatCode>
                <c:ptCount val="4"/>
                <c:pt idx="1">
                  <c:v>6450</c:v>
                </c:pt>
              </c:numCache>
            </c:numRef>
          </c:val>
          <c:extLst>
            <c:ext xmlns:c16="http://schemas.microsoft.com/office/drawing/2014/chart" uri="{C3380CC4-5D6E-409C-BE32-E72D297353CC}">
              <c16:uniqueId val="{0000000C-970F-48EF-A59E-F3F25D1AB99D}"/>
            </c:ext>
          </c:extLst>
        </c:ser>
        <c:ser>
          <c:idx val="3"/>
          <c:order val="3"/>
          <c:tx>
            <c:strRef>
              <c:f>Sheet3!$E$3:$E$4</c:f>
              <c:strCache>
                <c:ptCount val="1"/>
                <c:pt idx="0">
                  <c:v>Pipeline Kit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Sheet3!$A$5:$A$9</c:f>
              <c:strCache>
                <c:ptCount val="4"/>
                <c:pt idx="0">
                  <c:v>East</c:v>
                </c:pt>
                <c:pt idx="1">
                  <c:v>North</c:v>
                </c:pt>
                <c:pt idx="2">
                  <c:v>South</c:v>
                </c:pt>
                <c:pt idx="3">
                  <c:v>West</c:v>
                </c:pt>
              </c:strCache>
            </c:strRef>
          </c:cat>
          <c:val>
            <c:numRef>
              <c:f>Sheet3!$E$5:$E$9</c:f>
              <c:numCache>
                <c:formatCode>0</c:formatCode>
                <c:ptCount val="4"/>
                <c:pt idx="0">
                  <c:v>4500</c:v>
                </c:pt>
              </c:numCache>
            </c:numRef>
          </c:val>
          <c:extLst>
            <c:ext xmlns:c16="http://schemas.microsoft.com/office/drawing/2014/chart" uri="{C3380CC4-5D6E-409C-BE32-E72D297353CC}">
              <c16:uniqueId val="{0000000D-970F-48EF-A59E-F3F25D1AB99D}"/>
            </c:ext>
          </c:extLst>
        </c:ser>
        <c:dLbls>
          <c:dLblPos val="outEnd"/>
          <c:showLegendKey val="0"/>
          <c:showVal val="0"/>
          <c:showCatName val="0"/>
          <c:showSerName val="0"/>
          <c:showPercent val="0"/>
          <c:showBubbleSize val="0"/>
        </c:dLbls>
        <c:gapWidth val="100"/>
        <c:axId val="1091675999"/>
        <c:axId val="1091661119"/>
      </c:barChart>
      <c:catAx>
        <c:axId val="1091675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661119"/>
        <c:crosses val="autoZero"/>
        <c:auto val="1"/>
        <c:lblAlgn val="ctr"/>
        <c:lblOffset val="100"/>
        <c:noMultiLvlLbl val="0"/>
      </c:catAx>
      <c:valAx>
        <c:axId val="109166111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1675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215900</xdr:colOff>
      <xdr:row>6</xdr:row>
      <xdr:rowOff>85481</xdr:rowOff>
    </xdr:from>
    <xdr:to>
      <xdr:col>8</xdr:col>
      <xdr:colOff>192454</xdr:colOff>
      <xdr:row>21</xdr:row>
      <xdr:rowOff>52754</xdr:rowOff>
    </xdr:to>
    <xdr:graphicFrame macro="">
      <xdr:nvGraphicFramePr>
        <xdr:cNvPr id="6" name="Chart 2">
          <a:extLst>
            <a:ext uri="{FF2B5EF4-FFF2-40B4-BE49-F238E27FC236}">
              <a16:creationId xmlns:a16="http://schemas.microsoft.com/office/drawing/2014/main" id="{B844C9A9-5D7A-A0E5-947C-3D9FE898B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584200</xdr:colOff>
      <xdr:row>7</xdr:row>
      <xdr:rowOff>25400</xdr:rowOff>
    </xdr:from>
    <xdr:to>
      <xdr:col>11</xdr:col>
      <xdr:colOff>584200</xdr:colOff>
      <xdr:row>21</xdr:row>
      <xdr:rowOff>66672</xdr:rowOff>
    </xdr:to>
    <mc:AlternateContent xmlns:mc="http://schemas.openxmlformats.org/markup-compatibility/2006">
      <mc:Choice xmlns:a14="http://schemas.microsoft.com/office/drawing/2010/main" Requires="a14">
        <xdr:graphicFrame macro="">
          <xdr:nvGraphicFramePr>
            <xdr:cNvPr id="7" name="sales_rep 1">
              <a:extLst>
                <a:ext uri="{FF2B5EF4-FFF2-40B4-BE49-F238E27FC236}">
                  <a16:creationId xmlns:a16="http://schemas.microsoft.com/office/drawing/2014/main" id="{1E41FCB8-A542-48EE-8599-1823904F3FA2}"/>
                </a:ext>
              </a:extLst>
            </xdr:cNvPr>
            <xdr:cNvGraphicFramePr/>
          </xdr:nvGraphicFramePr>
          <xdr:xfrm>
            <a:off x="0" y="0"/>
            <a:ext cx="0" cy="0"/>
          </xdr:xfrm>
          <a:graphic>
            <a:graphicData uri="http://schemas.microsoft.com/office/drawing/2010/slicer">
              <sle:slicer xmlns:sle="http://schemas.microsoft.com/office/drawing/2010/slicer" name="sales_rep 1"/>
            </a:graphicData>
          </a:graphic>
        </xdr:graphicFrame>
      </mc:Choice>
      <mc:Fallback>
        <xdr:sp macro="" textlink="">
          <xdr:nvSpPr>
            <xdr:cNvPr id="0" name=""/>
            <xdr:cNvSpPr>
              <a:spLocks noTextEdit="1"/>
            </xdr:cNvSpPr>
          </xdr:nvSpPr>
          <xdr:spPr>
            <a:xfrm>
              <a:off x="5461000" y="1428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Anthony Umo" id="{1BB0D74D-FD8A-4C5D-A8B9-E3385C97B2EF}" userId="S::Anthony.Umo.4351@mysainsburys.co.uk::076aee8f-3344-4577-abb1-78c2b7dc4fc4"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thony Umo" refreshedDate="46182.539515393517" createdVersion="8" refreshedVersion="8" minRefreshableVersion="3" recordCount="9" xr:uid="{1DA3DEFE-56C6-443A-A7A0-61E35DE7265A}">
  <cacheSource type="worksheet">
    <worksheetSource ref="A1:G10" sheet="Data"/>
  </cacheSource>
  <cacheFields count="7">
    <cacheField name="order_id" numFmtId="0">
      <sharedItems containsSemiMixedTypes="0" containsString="0" containsNumber="1" containsInteger="1" minValue="1001" maxValue="1010"/>
    </cacheField>
    <cacheField name="date" numFmtId="164">
      <sharedItems containsSemiMixedTypes="0" containsNonDate="0" containsDate="1" containsString="0" minDate="2024-01-05T00:00:00" maxDate="2024-04-03T00:00:00"/>
    </cacheField>
    <cacheField name="region" numFmtId="0">
      <sharedItems count="4">
        <s v="North"/>
        <s v="South"/>
        <s v="East"/>
        <s v="West"/>
      </sharedItems>
    </cacheField>
    <cacheField name="product_clean" numFmtId="0">
      <sharedItems count="4">
        <s v="Oil Filter"/>
        <s v="Gas Valve"/>
        <s v="Pipeline Kit"/>
        <s v="Fuel Pump"/>
      </sharedItems>
    </cacheField>
    <cacheField name="units" numFmtId="0">
      <sharedItems containsSemiMixedTypes="0" containsString="0" containsNumber="1" containsInteger="1" minValue="10" maxValue="50"/>
    </cacheField>
    <cacheField name="revenue" numFmtId="0">
      <sharedItems containsSemiMixedTypes="0" containsString="0" containsNumber="1" containsInteger="1" minValue="900" maxValue="4500"/>
    </cacheField>
    <cacheField name="sales_rep" numFmtId="0">
      <sharedItems count="4">
        <s v="James"/>
        <s v="Ada"/>
        <s v="Chidi"/>
        <s v="Unknown"/>
      </sharedItems>
    </cacheField>
  </cacheFields>
  <extLst>
    <ext xmlns:x14="http://schemas.microsoft.com/office/spreadsheetml/2009/9/main" uri="{725AE2AE-9491-48be-B2B4-4EB974FC3084}">
      <x14:pivotCacheDefinition pivotCacheId="1333020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1001"/>
    <d v="2024-01-05T00:00:00"/>
    <x v="0"/>
    <x v="0"/>
    <n v="50"/>
    <n v="2500"/>
    <x v="0"/>
  </r>
  <r>
    <n v="1002"/>
    <d v="2024-01-15T00:00:00"/>
    <x v="0"/>
    <x v="0"/>
    <n v="30"/>
    <n v="1500"/>
    <x v="0"/>
  </r>
  <r>
    <n v="1003"/>
    <d v="2024-01-20T00:00:00"/>
    <x v="1"/>
    <x v="1"/>
    <n v="20"/>
    <n v="1800"/>
    <x v="1"/>
  </r>
  <r>
    <n v="1004"/>
    <d v="2024-02-01T00:00:00"/>
    <x v="1"/>
    <x v="1"/>
    <n v="20"/>
    <n v="1800"/>
    <x v="1"/>
  </r>
  <r>
    <n v="1005"/>
    <d v="2024-02-10T00:00:00"/>
    <x v="2"/>
    <x v="2"/>
    <n v="15"/>
    <n v="4500"/>
    <x v="2"/>
  </r>
  <r>
    <n v="1007"/>
    <d v="2024-03-05T00:00:00"/>
    <x v="0"/>
    <x v="0"/>
    <n v="24"/>
    <n v="1200"/>
    <x v="0"/>
  </r>
  <r>
    <n v="1008"/>
    <d v="2024-03-18T00:00:00"/>
    <x v="3"/>
    <x v="3"/>
    <n v="40"/>
    <n v="3200"/>
    <x v="3"/>
  </r>
  <r>
    <n v="1009"/>
    <d v="2024-04-02T00:00:00"/>
    <x v="0"/>
    <x v="0"/>
    <n v="25"/>
    <n v="1250"/>
    <x v="0"/>
  </r>
  <r>
    <n v="1010"/>
    <d v="2024-04-02T00:00:00"/>
    <x v="1"/>
    <x v="1"/>
    <n v="10"/>
    <n v="9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74DE28-EE9E-4B4F-927E-F9A0A67365A2}"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F9" firstHeaderRow="1" firstDataRow="2" firstDataCol="1"/>
  <pivotFields count="7">
    <pivotField showAll="0"/>
    <pivotField numFmtId="164" showAll="0"/>
    <pivotField axis="axisRow" showAll="0">
      <items count="5">
        <item x="2"/>
        <item x="0"/>
        <item x="1"/>
        <item x="3"/>
        <item t="default"/>
      </items>
    </pivotField>
    <pivotField axis="axisCol" showAll="0">
      <items count="5">
        <item x="3"/>
        <item x="1"/>
        <item x="0"/>
        <item x="2"/>
        <item t="default"/>
      </items>
    </pivotField>
    <pivotField showAll="0"/>
    <pivotField dataField="1" showAll="0"/>
    <pivotField showAll="0">
      <items count="5">
        <item x="1"/>
        <item x="2"/>
        <item x="0"/>
        <item x="3"/>
        <item t="default"/>
      </items>
    </pivotField>
  </pivotFields>
  <rowFields count="1">
    <field x="2"/>
  </rowFields>
  <rowItems count="5">
    <i>
      <x/>
    </i>
    <i>
      <x v="1"/>
    </i>
    <i>
      <x v="2"/>
    </i>
    <i>
      <x v="3"/>
    </i>
    <i t="grand">
      <x/>
    </i>
  </rowItems>
  <colFields count="1">
    <field x="3"/>
  </colFields>
  <colItems count="5">
    <i>
      <x/>
    </i>
    <i>
      <x v="1"/>
    </i>
    <i>
      <x v="2"/>
    </i>
    <i>
      <x v="3"/>
    </i>
    <i t="grand">
      <x/>
    </i>
  </colItems>
  <dataFields count="1">
    <dataField name="Sum of revenue" fld="5" baseField="0" baseItem="0" numFmtId="1"/>
  </dataFields>
  <formats count="3">
    <format dxfId="18">
      <pivotArea collapsedLevelsAreSubtotals="1" fieldPosition="0">
        <references count="2">
          <reference field="2" count="1">
            <x v="0"/>
          </reference>
          <reference field="3" count="1" selected="0">
            <x v="3"/>
          </reference>
        </references>
      </pivotArea>
    </format>
    <format dxfId="19">
      <pivotArea outline="0" fieldPosition="0">
        <references count="1">
          <reference field="4294967294" count="1">
            <x v="0"/>
          </reference>
        </references>
      </pivotArea>
    </format>
    <format dxfId="20">
      <pivotArea dataOnly="0" labelOnly="1" fieldPosition="0">
        <references count="1">
          <reference field="3" count="1">
            <x v="0"/>
          </reference>
        </references>
      </pivotArea>
    </format>
  </formats>
  <chartFormats count="4">
    <chartFormat chart="9" format="4" series="1">
      <pivotArea type="data" outline="0" fieldPosition="0">
        <references count="2">
          <reference field="4294967294" count="1" selected="0">
            <x v="0"/>
          </reference>
          <reference field="3" count="1" selected="0">
            <x v="0"/>
          </reference>
        </references>
      </pivotArea>
    </chartFormat>
    <chartFormat chart="9" format="5" series="1">
      <pivotArea type="data" outline="0" fieldPosition="0">
        <references count="2">
          <reference field="4294967294" count="1" selected="0">
            <x v="0"/>
          </reference>
          <reference field="3" count="1" selected="0">
            <x v="2"/>
          </reference>
        </references>
      </pivotArea>
    </chartFormat>
    <chartFormat chart="9" format="6" series="1">
      <pivotArea type="data" outline="0" fieldPosition="0">
        <references count="2">
          <reference field="4294967294" count="1" selected="0">
            <x v="0"/>
          </reference>
          <reference field="3" count="1" selected="0">
            <x v="1"/>
          </reference>
        </references>
      </pivotArea>
    </chartFormat>
    <chartFormat chart="9" format="7" series="1">
      <pivotArea type="data" outline="0" fieldPosition="0">
        <references count="2">
          <reference field="4294967294" count="1" selected="0">
            <x v="0"/>
          </reference>
          <reference field="3" count="1" selected="0">
            <x v="3"/>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D809D236-46A1-47C8-B19C-30A950C162B3}" sourceName="sales_rep">
  <pivotTables>
    <pivotTable tabId="3" name="PivotTable3"/>
  </pivotTables>
  <data>
    <tabular pivotCacheId="1333020307">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rep 1" xr10:uid="{3331EF7A-0217-42CC-AB79-36B3C6CA00BB}" cache="Slicer_sales_rep" caption="sales_rep" style="SlicerStyleOther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7" dT="2026-06-08T12:24:31.65" personId="{1BB0D74D-FD8A-4C5D-A8B9-E3385C97B2EF}" id="{34EC880A-B91A-4F00-B035-2E9B9F64B7AF}">
    <text>Estimated from revenue</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2AD5C-DEBD-4CEA-B55E-B30358851A1A}">
  <dimension ref="A2:F9"/>
  <sheetViews>
    <sheetView zoomScale="104" zoomScaleNormal="104" workbookViewId="0">
      <selection activeCell="E8" sqref="E8"/>
    </sheetView>
  </sheetViews>
  <sheetFormatPr defaultRowHeight="14.5" x14ac:dyDescent="0.35"/>
  <cols>
    <col min="1" max="1" width="13.81640625" bestFit="1" customWidth="1"/>
    <col min="2" max="2" width="15.6328125" customWidth="1"/>
    <col min="3" max="3" width="8.90625" bestFit="1" customWidth="1"/>
    <col min="4" max="4" width="7.90625" bestFit="1" customWidth="1"/>
    <col min="5" max="6" width="10.36328125" bestFit="1" customWidth="1"/>
  </cols>
  <sheetData>
    <row r="2" spans="1:6" x14ac:dyDescent="0.35">
      <c r="A2" s="5" t="s">
        <v>23</v>
      </c>
      <c r="B2" s="5"/>
    </row>
    <row r="3" spans="1:6" x14ac:dyDescent="0.35">
      <c r="A3" s="2" t="s">
        <v>21</v>
      </c>
      <c r="B3" s="2" t="s">
        <v>22</v>
      </c>
    </row>
    <row r="4" spans="1:6" x14ac:dyDescent="0.35">
      <c r="A4" s="2" t="s">
        <v>19</v>
      </c>
      <c r="B4" s="3" t="s">
        <v>7</v>
      </c>
      <c r="C4" t="s">
        <v>1</v>
      </c>
      <c r="D4" t="s">
        <v>4</v>
      </c>
      <c r="E4" t="s">
        <v>10</v>
      </c>
      <c r="F4" t="s">
        <v>20</v>
      </c>
    </row>
    <row r="5" spans="1:6" x14ac:dyDescent="0.35">
      <c r="A5" s="3" t="s">
        <v>11</v>
      </c>
      <c r="B5" s="4"/>
      <c r="C5" s="4"/>
      <c r="D5" s="4"/>
      <c r="E5" s="4">
        <v>4500</v>
      </c>
      <c r="F5" s="4">
        <v>4500</v>
      </c>
    </row>
    <row r="6" spans="1:6" x14ac:dyDescent="0.35">
      <c r="A6" s="3" t="s">
        <v>5</v>
      </c>
      <c r="B6" s="4"/>
      <c r="C6" s="4"/>
      <c r="D6" s="4">
        <v>6450</v>
      </c>
      <c r="E6" s="4"/>
      <c r="F6" s="4">
        <v>6450</v>
      </c>
    </row>
    <row r="7" spans="1:6" x14ac:dyDescent="0.35">
      <c r="A7" s="3" t="s">
        <v>2</v>
      </c>
      <c r="B7" s="4"/>
      <c r="C7" s="4">
        <v>4500</v>
      </c>
      <c r="D7" s="4"/>
      <c r="E7" s="4"/>
      <c r="F7" s="4">
        <v>4500</v>
      </c>
    </row>
    <row r="8" spans="1:6" x14ac:dyDescent="0.35">
      <c r="A8" s="3" t="s">
        <v>8</v>
      </c>
      <c r="B8" s="4">
        <v>3200</v>
      </c>
      <c r="C8" s="4"/>
      <c r="D8" s="4"/>
      <c r="E8" s="4"/>
      <c r="F8" s="4">
        <v>3200</v>
      </c>
    </row>
    <row r="9" spans="1:6" x14ac:dyDescent="0.35">
      <c r="A9" s="3" t="s">
        <v>20</v>
      </c>
      <c r="B9" s="4">
        <v>3200</v>
      </c>
      <c r="C9" s="4">
        <v>4500</v>
      </c>
      <c r="D9" s="4">
        <v>6450</v>
      </c>
      <c r="E9" s="4">
        <v>4500</v>
      </c>
      <c r="F9" s="4">
        <v>18650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41F9-EE88-49F9-9A7A-1B6CDFC13B9E}">
  <dimension ref="B2:Q23"/>
  <sheetViews>
    <sheetView showGridLines="0" showRowColHeaders="0" workbookViewId="0">
      <selection activeCell="R10" sqref="R10"/>
    </sheetView>
  </sheetViews>
  <sheetFormatPr defaultRowHeight="14.5" x14ac:dyDescent="0.35"/>
  <cols>
    <col min="1" max="16384" width="8.7265625" style="6"/>
  </cols>
  <sheetData>
    <row r="2" spans="2:17" ht="23.5" x14ac:dyDescent="0.55000000000000004">
      <c r="B2" s="9" t="s">
        <v>24</v>
      </c>
      <c r="D2" s="8"/>
    </row>
    <row r="3" spans="2:17" x14ac:dyDescent="0.35">
      <c r="B3" s="7" t="s">
        <v>25</v>
      </c>
    </row>
    <row r="5" spans="2:17" x14ac:dyDescent="0.35">
      <c r="B5" s="10">
        <f>SUM(Data!F2:F11)</f>
        <v>18650</v>
      </c>
      <c r="C5" s="11"/>
      <c r="Q5" s="13"/>
    </row>
    <row r="6" spans="2:17" x14ac:dyDescent="0.35">
      <c r="B6" s="12" t="s">
        <v>26</v>
      </c>
      <c r="C6" s="11"/>
    </row>
    <row r="23" spans="17:17" x14ac:dyDescent="0.35">
      <c r="Q23" s="6" t="str">
        <f ca="1">"Last updated: "&amp;TEXT(TODAY(),"DD MMM YYYY")</f>
        <v>Last updated: 09 Jun 2026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45886-E1DE-4EBB-9097-6A6F128C87FF}">
  <dimension ref="A1:G11"/>
  <sheetViews>
    <sheetView tabSelected="1" workbookViewId="0">
      <selection activeCell="C7" sqref="C7"/>
    </sheetView>
  </sheetViews>
  <sheetFormatPr defaultRowHeight="14.5" x14ac:dyDescent="0.35"/>
  <cols>
    <col min="2" max="2" width="10.90625" style="1" bestFit="1" customWidth="1"/>
  </cols>
  <sheetData>
    <row r="1" spans="1:7" x14ac:dyDescent="0.35">
      <c r="A1" t="s">
        <v>18</v>
      </c>
      <c r="B1" s="1" t="s">
        <v>17</v>
      </c>
      <c r="C1" t="s">
        <v>16</v>
      </c>
      <c r="D1" t="s">
        <v>15</v>
      </c>
      <c r="E1" t="s">
        <v>14</v>
      </c>
      <c r="F1" t="s">
        <v>13</v>
      </c>
      <c r="G1" t="s">
        <v>12</v>
      </c>
    </row>
    <row r="2" spans="1:7" x14ac:dyDescent="0.35">
      <c r="A2">
        <v>1001</v>
      </c>
      <c r="B2" s="1">
        <v>45296</v>
      </c>
      <c r="C2" t="s">
        <v>5</v>
      </c>
      <c r="D2" t="s">
        <v>4</v>
      </c>
      <c r="E2">
        <v>50</v>
      </c>
      <c r="F2">
        <v>2500</v>
      </c>
      <c r="G2" t="s">
        <v>3</v>
      </c>
    </row>
    <row r="3" spans="1:7" x14ac:dyDescent="0.35">
      <c r="A3">
        <v>1002</v>
      </c>
      <c r="B3" s="1">
        <v>45306</v>
      </c>
      <c r="C3" t="s">
        <v>5</v>
      </c>
      <c r="D3" t="s">
        <v>4</v>
      </c>
      <c r="E3">
        <v>30</v>
      </c>
      <c r="F3">
        <f>30*50</f>
        <v>1500</v>
      </c>
      <c r="G3" t="s">
        <v>3</v>
      </c>
    </row>
    <row r="4" spans="1:7" x14ac:dyDescent="0.35">
      <c r="A4">
        <v>1003</v>
      </c>
      <c r="B4" s="1">
        <v>45311</v>
      </c>
      <c r="C4" t="s">
        <v>2</v>
      </c>
      <c r="D4" t="s">
        <v>1</v>
      </c>
      <c r="E4">
        <v>20</v>
      </c>
      <c r="F4">
        <v>1800</v>
      </c>
      <c r="G4" t="s">
        <v>0</v>
      </c>
    </row>
    <row r="5" spans="1:7" x14ac:dyDescent="0.35">
      <c r="A5">
        <v>1004</v>
      </c>
      <c r="B5" s="1">
        <v>45323</v>
      </c>
      <c r="C5" t="s">
        <v>2</v>
      </c>
      <c r="D5" t="s">
        <v>1</v>
      </c>
      <c r="E5">
        <v>20</v>
      </c>
      <c r="F5">
        <v>1800</v>
      </c>
      <c r="G5" t="s">
        <v>0</v>
      </c>
    </row>
    <row r="6" spans="1:7" x14ac:dyDescent="0.35">
      <c r="A6">
        <v>1005</v>
      </c>
      <c r="B6" s="1">
        <v>45332</v>
      </c>
      <c r="C6" t="s">
        <v>11</v>
      </c>
      <c r="D6" t="s">
        <v>10</v>
      </c>
      <c r="E6">
        <v>15</v>
      </c>
      <c r="F6">
        <v>4500</v>
      </c>
      <c r="G6" t="s">
        <v>9</v>
      </c>
    </row>
    <row r="7" spans="1:7" x14ac:dyDescent="0.35">
      <c r="A7">
        <v>1007</v>
      </c>
      <c r="B7" s="1">
        <v>45356</v>
      </c>
      <c r="C7" t="s">
        <v>5</v>
      </c>
      <c r="D7" t="s">
        <v>4</v>
      </c>
      <c r="E7">
        <f>F7/50</f>
        <v>24</v>
      </c>
      <c r="F7">
        <v>1200</v>
      </c>
      <c r="G7" t="s">
        <v>3</v>
      </c>
    </row>
    <row r="8" spans="1:7" x14ac:dyDescent="0.35">
      <c r="A8">
        <v>1008</v>
      </c>
      <c r="B8" s="1">
        <v>45369</v>
      </c>
      <c r="C8" t="s">
        <v>8</v>
      </c>
      <c r="D8" t="s">
        <v>7</v>
      </c>
      <c r="E8">
        <v>40</v>
      </c>
      <c r="F8">
        <v>3200</v>
      </c>
      <c r="G8" t="s">
        <v>6</v>
      </c>
    </row>
    <row r="9" spans="1:7" x14ac:dyDescent="0.35">
      <c r="A9">
        <v>1009</v>
      </c>
      <c r="B9" s="1">
        <v>45384</v>
      </c>
      <c r="C9" t="s">
        <v>5</v>
      </c>
      <c r="D9" t="s">
        <v>4</v>
      </c>
      <c r="E9">
        <v>25</v>
      </c>
      <c r="F9">
        <v>1250</v>
      </c>
      <c r="G9" t="s">
        <v>3</v>
      </c>
    </row>
    <row r="10" spans="1:7" x14ac:dyDescent="0.35">
      <c r="A10">
        <v>1010</v>
      </c>
      <c r="B10" s="1">
        <v>45384</v>
      </c>
      <c r="C10" t="s">
        <v>2</v>
      </c>
      <c r="D10" t="s">
        <v>1</v>
      </c>
      <c r="E10">
        <v>10</v>
      </c>
      <c r="F10">
        <v>900</v>
      </c>
      <c r="G10" t="s">
        <v>0</v>
      </c>
    </row>
    <row r="11" spans="1:7" x14ac:dyDescent="0.35">
      <c r="B11"/>
    </row>
  </sheetData>
  <conditionalFormatting sqref="D7">
    <cfRule type="duplicateValues" dxfId="61" priority="2"/>
  </conditionalFormatting>
  <conditionalFormatting sqref="D6">
    <cfRule type="duplicateValues" dxfId="60" priority="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Anthony Umo</dc:creator>
  <cp:lastModifiedBy>Anthony Umo</cp:lastModifiedBy>
  <dcterms:created xsi:type="dcterms:W3CDTF">2026-06-09T11:55:44Z</dcterms:created>
  <dcterms:modified xsi:type="dcterms:W3CDTF">2026-06-09T14:09:58Z</dcterms:modified>
</cp:coreProperties>
</file>